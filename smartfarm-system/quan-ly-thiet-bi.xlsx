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703" windowHeight="10260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<sst xmlns="http://schemas.openxmlformats.org/spreadsheetml/2006/main" count="48" uniqueCount="36">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</sst>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3">
        <v>1450000</v>
      </c>
      <c r="D2" t="s">
        <v>6</v>
      </c>
    </row>
    <row r="3" spans="1:4">
      <c r="A3" t="s">
        <v>7</v>
      </c>
      <c r="B3" t="s">
        <v>8</v>
      </c>
      <c r="C3" s="3">
        <v>6200000</v>
      </c>
      <c r="D3" t="s">
        <v>6</v>
      </c>
    </row>
    <row r="4" spans="1:4">
      <c r="A4" t="s">
        <v>9</v>
      </c>
      <c r="B4" t="s">
        <v>10</v>
      </c>
      <c r="C4" s="3">
        <v>2300000</v>
      </c>
      <c r="D4" t="s">
        <v>6</v>
      </c>
    </row>
    <row r="5" spans="1:4">
      <c r="A5" t="s">
        <v>11</v>
      </c>
      <c r="B5" t="s">
        <v>12</v>
      </c>
      <c r="C5" s="3">
        <v>5400000</v>
      </c>
      <c r="D5" t="s">
        <v>13</v>
      </c>
    </row>
    <row r="6" spans="1:4">
      <c r="A6" t="s">
        <v>14</v>
      </c>
      <c r="B6" t="s">
        <v>15</v>
      </c>
      <c r="C6" s="3">
        <v>4200000</v>
      </c>
      <c r="D6" t="s">
        <v>6</v>
      </c>
    </row>
    <row r="7" spans="1:4">
      <c r="A7" t="s">
        <v>16</v>
      </c>
      <c r="B7" t="s">
        <v>17</v>
      </c>
      <c r="C7" s="3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15" sqref="D15"/>
    </sheetView>
  </sheetViews>
  <sheetFormatPr defaultColWidth="9" defaultRowHeight="14.4" outlineLevelCol="5"/>
  <cols>
    <col min="1" max="4" width="24" customWidth="1"/>
    <col min="5" max="5" width="18.1111111111111" customWidth="1"/>
    <col min="6" max="6" width="21.3333333333333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1</v>
      </c>
    </row>
    <row r="2" spans="1:6">
      <c r="A2" t="s">
        <v>22</v>
      </c>
      <c r="B2" t="s">
        <v>7</v>
      </c>
      <c r="C2">
        <v>16</v>
      </c>
      <c r="D2" s="2">
        <v>46093</v>
      </c>
      <c r="E2" t="str">
        <f>TRIM(B2)</f>
        <v>LK02</v>
      </c>
      <c r="F2" t="str">
        <f>VLOOKUP(E2,'danh-muc-linh-kien'!$A$1:$D$7,2,0)</f>
        <v>Intel NUC i3</v>
      </c>
    </row>
    <row r="3" spans="1:6">
      <c r="A3" t="s">
        <v>23</v>
      </c>
      <c r="B3" t="s">
        <v>24</v>
      </c>
      <c r="C3">
        <v>4</v>
      </c>
      <c r="D3" s="2">
        <v>46096</v>
      </c>
      <c r="E3" t="str">
        <f t="shared" ref="E3:E11" si="0">TRIM(B3)</f>
        <v>LK01</v>
      </c>
      <c r="F3" t="str">
        <f>VLOOKUP(E3,'danh-muc-linh-kien'!$A$1:$D$7,2,0)</f>
        <v>Raspberry Pi 4 Model B</v>
      </c>
    </row>
    <row r="4" spans="1:6">
      <c r="A4" t="s">
        <v>25</v>
      </c>
      <c r="B4" t="s">
        <v>26</v>
      </c>
      <c r="C4">
        <v>8</v>
      </c>
      <c r="D4" s="2">
        <v>46114</v>
      </c>
      <c r="E4" t="str">
        <f t="shared" si="0"/>
        <v>LK05</v>
      </c>
      <c r="F4" t="str">
        <f>VLOOKUP(E4,'danh-muc-linh-kien'!$A$1:$D$7,2,0)</f>
        <v>Mini PC Fanless N100</v>
      </c>
    </row>
    <row r="5" spans="1:6">
      <c r="A5" t="s">
        <v>27</v>
      </c>
      <c r="B5" t="s">
        <v>9</v>
      </c>
      <c r="C5">
        <v>8</v>
      </c>
      <c r="D5" s="2">
        <v>46121</v>
      </c>
      <c r="E5" t="str">
        <f t="shared" si="0"/>
        <v>LK03</v>
      </c>
      <c r="F5" t="str">
        <f>VLOOKUP(E5,'danh-muc-linh-kien'!$A$1:$D$7,2,0)</f>
        <v>Orange Pi 5</v>
      </c>
    </row>
    <row r="6" spans="1:6">
      <c r="A6" t="s">
        <v>28</v>
      </c>
      <c r="B6" t="s">
        <v>29</v>
      </c>
      <c r="C6">
        <v>16</v>
      </c>
      <c r="D6" s="2">
        <v>46133</v>
      </c>
      <c r="E6" t="str">
        <f t="shared" si="0"/>
        <v>LK02</v>
      </c>
      <c r="F6" t="str">
        <f>VLOOKUP(E6,'danh-muc-linh-kien'!$A$1:$D$7,2,0)</f>
        <v>Intel NUC i3</v>
      </c>
    </row>
    <row r="7" spans="1:6">
      <c r="A7" t="s">
        <v>30</v>
      </c>
      <c r="B7" t="s">
        <v>16</v>
      </c>
      <c r="C7">
        <v>4</v>
      </c>
      <c r="D7" s="2">
        <v>46147</v>
      </c>
      <c r="E7" t="str">
        <f t="shared" si="0"/>
        <v>LK06</v>
      </c>
      <c r="F7" t="str">
        <f>VLOOKUP(E7,'danh-muc-linh-kien'!$A$1:$D$7,2,0)</f>
        <v>Synology DS220j NAS</v>
      </c>
    </row>
    <row r="8" spans="1:6">
      <c r="A8" t="s">
        <v>31</v>
      </c>
      <c r="B8" t="s">
        <v>4</v>
      </c>
      <c r="C8">
        <v>4</v>
      </c>
      <c r="D8" s="2">
        <v>46160</v>
      </c>
      <c r="E8" t="str">
        <f t="shared" si="0"/>
        <v>LK01</v>
      </c>
      <c r="F8" t="str">
        <f>VLOOKUP(E8,'danh-muc-linh-kien'!$A$1:$D$7,2,0)</f>
        <v>Raspberry Pi 4 Model B</v>
      </c>
    </row>
    <row r="9" spans="1:6">
      <c r="A9" t="s">
        <v>32</v>
      </c>
      <c r="B9" t="s">
        <v>33</v>
      </c>
      <c r="C9">
        <v>8</v>
      </c>
      <c r="D9" s="2">
        <v>46174</v>
      </c>
      <c r="E9" t="str">
        <f t="shared" si="0"/>
        <v>LK04</v>
      </c>
      <c r="F9" t="str">
        <f>VLOOKUP(E9,'danh-muc-linh-kien'!$A$1:$D$7,2,0)</f>
        <v>Dell Optiplex Micro</v>
      </c>
    </row>
    <row r="10" spans="1:6">
      <c r="A10" t="s">
        <v>34</v>
      </c>
      <c r="B10" t="s">
        <v>9</v>
      </c>
      <c r="C10">
        <v>8</v>
      </c>
      <c r="D10" s="2">
        <v>46187</v>
      </c>
      <c r="E10" t="str">
        <f t="shared" si="0"/>
        <v>LK03</v>
      </c>
      <c r="F10" t="str">
        <f>VLOOKUP(E10,'danh-muc-linh-kien'!$A$1:$D$7,2,0)</f>
        <v>Orange Pi 5</v>
      </c>
    </row>
    <row r="11" spans="1:6">
      <c r="A11" t="s">
        <v>35</v>
      </c>
      <c r="B11" t="s">
        <v>14</v>
      </c>
      <c r="C11">
        <v>8</v>
      </c>
      <c r="D11" s="2">
        <v>46206</v>
      </c>
      <c r="E11" t="str">
        <f t="shared" si="0"/>
        <v>LK05</v>
      </c>
      <c r="F11" t="str">
        <f>VLOOKUP(E11,'danh-muc-linh-kien'!$A$1:$D$7,2,0)</f>
        <v>Mini PC Fanless N100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Tuấn</cp:lastModifiedBy>
  <dcterms:created xsi:type="dcterms:W3CDTF">2026-10-13T00:17:00Z</dcterms:created>
  <dcterms:modified xsi:type="dcterms:W3CDTF">2026-10-27T08:55:56Z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2D602EABCB5F46DA82591AB209A94FE9_12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